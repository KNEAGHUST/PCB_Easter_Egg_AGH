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zys\Documents\ELECTRONICS\Easter_Egg_AGH\Materials\"/>
    </mc:Choice>
  </mc:AlternateContent>
  <xr:revisionPtr revIDLastSave="0" documentId="8_{E9AD8E37-4DFA-45BE-8840-7E6BCEB8F5DA}" xr6:coauthVersionLast="47" xr6:coauthVersionMax="47" xr10:uidLastSave="{00000000-0000-0000-0000-000000000000}"/>
  <bookViews>
    <workbookView xWindow="-120" yWindow="-120" windowWidth="29040" windowHeight="17520" xr2:uid="{249464D7-0563-44AC-9E27-90D18EA15885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C18" i="1" l="1"/>
</calcChain>
</file>

<file path=xl/sharedStrings.xml><?xml version="1.0" encoding="utf-8"?>
<sst xmlns="http://schemas.openxmlformats.org/spreadsheetml/2006/main" count="46" uniqueCount="43">
  <si>
    <t>Element</t>
  </si>
  <si>
    <t>Cena jednostkowa NETTO</t>
  </si>
  <si>
    <t>Ilość</t>
  </si>
  <si>
    <t>Cena łącznie</t>
  </si>
  <si>
    <t>Link TME</t>
  </si>
  <si>
    <t>NOTATKI</t>
  </si>
  <si>
    <t>Attiny402</t>
  </si>
  <si>
    <t>Cena jednostkowa przy 100 sztukach</t>
  </si>
  <si>
    <t>MMFTP84W</t>
  </si>
  <si>
    <t>https://www.tme.eu/pl/details/mmftp84w-dio/tranzystory-z-kanalem-p-smd/diotec-semiconductor/mmftp84w/</t>
  </si>
  <si>
    <t>Cena przy 500 sztukach</t>
  </si>
  <si>
    <t>BC846-QR</t>
  </si>
  <si>
    <t>https://www.tme.eu/pl/details/bc846-qr/tranzystory-npn-smd/nexperia/</t>
  </si>
  <si>
    <t>Cena przy 250 sztukach</t>
  </si>
  <si>
    <t>BAS70-5</t>
  </si>
  <si>
    <t>https://www.tme.eu/pl/details/bas70-05-dio/diody-schottky-smd/diotec-semiconductor/bas70-5/</t>
  </si>
  <si>
    <t>Cena przy 100 sztukach</t>
  </si>
  <si>
    <t>0603WAJ0103T5E</t>
  </si>
  <si>
    <t>https://www.tme.eu/pl/details/smd0603-10k/rezystory-smd/royal-ohm/0603saj0103t5e/</t>
  </si>
  <si>
    <t>Cena przy 1000 sztuk</t>
  </si>
  <si>
    <t>TACTM-64N-F</t>
  </si>
  <si>
    <t>https://www.tme.eu/pl/details/pts645sk43smtr92/mikroprzelaczniki-tact/c-k/pts645sk43smtr92-lfs/</t>
  </si>
  <si>
    <t>FYLS-0805URC (czerwone)</t>
  </si>
  <si>
    <t>https://www.tme.eu/pl/details/rf-rub170ts-bd/diody-led-smd-kolorowe/refond/</t>
  </si>
  <si>
    <t>Cena przy 4000 sztukach</t>
  </si>
  <si>
    <t>LTST-C170KFKT (pomarańczowe)</t>
  </si>
  <si>
    <t>https://www.tme.eu/pl/details/ltst-c170kfkt/diody-led-smd-kolorowe/liteon/</t>
  </si>
  <si>
    <t>RF-GSB170TS-BC (żółto-zielone)</t>
  </si>
  <si>
    <t>https://www.tme.eu/pl/details/rf-gsb170ts-bc/diody-led-smd-kolorowe/refond/</t>
  </si>
  <si>
    <t>Cena przy 5000 sztuk</t>
  </si>
  <si>
    <t>Koszyk na baterię</t>
  </si>
  <si>
    <t>https://www.tme.eu/pl/details/keys3003/baterie-pojemniki-i-uchwyty/keystone/3003/</t>
  </si>
  <si>
    <t>Cena przy 20 sztukach</t>
  </si>
  <si>
    <t>Bateria CR2032</t>
  </si>
  <si>
    <t>https://www.tme.eu/pl/details/bat-cr2032_a/baterie/akyga-battery/aky1075/</t>
  </si>
  <si>
    <t>SUMA</t>
  </si>
  <si>
    <t>https://www.tme.eu/pl/details/attiny402-ssn/rodzina-avr-8-bit/microchip-technology/</t>
  </si>
  <si>
    <t>Cena przy 250 sztuk</t>
  </si>
  <si>
    <t>Cena przy 3000 sztukach</t>
  </si>
  <si>
    <t>https://www.tme.eu/pl/details/ltst-c170kskt/diody-led-smd-kolorowe/liteon/</t>
  </si>
  <si>
    <t>LTST-C170KSKTLITEON-LED (żółte)</t>
  </si>
  <si>
    <t>0603SAJ0221T5E</t>
  </si>
  <si>
    <t>https://www.tme.eu/pl/details/0603saj0221t5e/rezystory-smd/royalohm/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</si>
</sst>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0"/>
      <color rgb="FF000000"/>
      <name val="Liberation Serif"/>
      <family val="1"/>
    </font>
    <font>
      <sz val="11"/>
      <color rgb="FFFF0000"/>
      <name val="Aptos Narrow"/>
      <family val="2"/>
    </font>
    <font>
      <sz val="10"/>
      <color rgb="FFC9211E"/>
      <name val="Liberation Sans"/>
      <family val="2"/>
    </font>
    <font>
      <sz val="15"/>
      <color rgb="FF000000"/>
      <name val="Liberation Sans"/>
      <family val="2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729FC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0" fillId="0" borderId="2" xfId="0" applyBorder="1"/>
    <xf numFmtId="0" fontId="2" fillId="0" borderId="2" xfId="0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1" fillId="0" borderId="2" xfId="1" applyBorder="1" applyAlignment="1">
      <alignment wrapText="1"/>
    </xf>
  </cellXfs>
  <cellStyles count="2">
    <cellStyle name="Hiperłącze" xfId="1" xr:uid="{9C6EB16C-3790-437E-BC58-9624EC6AE383}"/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rf-gsb170ts-bc/diody-led-smd-kolorowe/refond/" TargetMode="External"/><Relationship Id="rId3" Type="http://schemas.openxmlformats.org/officeDocument/2006/relationships/hyperlink" Target="https://www.tme.eu/pl/details/bas70-05-dio/diody-schottky-smd/diotec-semiconductor/bas70-5/" TargetMode="External"/><Relationship Id="rId7" Type="http://schemas.openxmlformats.org/officeDocument/2006/relationships/hyperlink" Target="https://www.tme.eu/pl/details/ltst-c170kfkt/diody-led-smd-kolorowe/liteon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tme.eu/pl/details/bc846-qr/tranzystory-npn-smd/nexperia/" TargetMode="External"/><Relationship Id="rId1" Type="http://schemas.openxmlformats.org/officeDocument/2006/relationships/hyperlink" Target="https://www.tme.eu/pl/details/mmftp84w-dio/tranzystory-z-kanalem-p-smd/diotec-semiconductor/mmftp84w/" TargetMode="External"/><Relationship Id="rId6" Type="http://schemas.openxmlformats.org/officeDocument/2006/relationships/hyperlink" Target="https://www.tme.eu/pl/details/rf-rub170ts-bd/diody-led-smd-kolorowe/refond/" TargetMode="External"/><Relationship Id="rId11" Type="http://schemas.openxmlformats.org/officeDocument/2006/relationships/hyperlink" Target="https://www.tme.eu/pl/details/ltst-c170kskt/diody-led-smd-kolorowe/liteon/" TargetMode="External"/><Relationship Id="rId5" Type="http://schemas.openxmlformats.org/officeDocument/2006/relationships/hyperlink" Target="https://www.tme.eu/pl/details/pts645sk43smtr92/mikroprzelaczniki-tact/c-k/pts645sk43smtr92-lfs/" TargetMode="External"/><Relationship Id="rId10" Type="http://schemas.openxmlformats.org/officeDocument/2006/relationships/hyperlink" Target="https://www.tme.eu/pl/details/bat-cr2032_a/baterie/akyga-battery/aky1075/" TargetMode="External"/><Relationship Id="rId4" Type="http://schemas.openxmlformats.org/officeDocument/2006/relationships/hyperlink" Target="https://www.tme.eu/pl/details/smd0603-10k/rezystory-smd/royal-ohm/0603saj0103t5e/" TargetMode="External"/><Relationship Id="rId9" Type="http://schemas.openxmlformats.org/officeDocument/2006/relationships/hyperlink" Target="https://www.tme.eu/pl/details/keys3003/baterie-pojemniki-i-uchwyty/keystone/3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3BAE-DDDB-45BA-AFB9-DB56DA80B3B4}">
  <dimension ref="B2:I18"/>
  <sheetViews>
    <sheetView tabSelected="1" workbookViewId="0"/>
  </sheetViews>
  <sheetFormatPr defaultRowHeight="15" x14ac:dyDescent="0.25"/>
  <cols>
    <col min="1" max="1" width="9.140625" customWidth="1"/>
    <col min="2" max="2" width="9.28515625" bestFit="1" customWidth="1"/>
    <col min="3" max="3" width="23.85546875" bestFit="1" customWidth="1"/>
    <col min="4" max="4" width="16.7109375" customWidth="1"/>
    <col min="5" max="5" width="12.140625" bestFit="1" customWidth="1"/>
    <col min="6" max="6" width="69.7109375" customWidth="1"/>
    <col min="7" max="7" width="77" customWidth="1"/>
    <col min="8" max="8" width="9.140625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9" ht="30" x14ac:dyDescent="0.25">
      <c r="B3" s="6" t="s">
        <v>6</v>
      </c>
      <c r="C3" s="6">
        <v>1.696</v>
      </c>
      <c r="D3" s="7">
        <v>500</v>
      </c>
      <c r="E3" s="7">
        <f t="shared" ref="E3:E15" si="0">D3*C3</f>
        <v>848</v>
      </c>
      <c r="F3" s="8" t="s">
        <v>36</v>
      </c>
      <c r="G3" s="6" t="s">
        <v>7</v>
      </c>
      <c r="H3" s="2"/>
    </row>
    <row r="4" spans="2:9" ht="30" x14ac:dyDescent="0.25">
      <c r="B4" s="7" t="s">
        <v>8</v>
      </c>
      <c r="C4" s="6">
        <v>0.17560000000000001</v>
      </c>
      <c r="D4" s="6">
        <v>2000</v>
      </c>
      <c r="E4" s="7">
        <f t="shared" si="0"/>
        <v>351.2</v>
      </c>
      <c r="F4" s="8" t="s">
        <v>9</v>
      </c>
      <c r="G4" s="6" t="s">
        <v>10</v>
      </c>
    </row>
    <row r="5" spans="2:9" x14ac:dyDescent="0.25">
      <c r="B5" s="7" t="s">
        <v>11</v>
      </c>
      <c r="C5" s="6">
        <v>9.2499999999999999E-2</v>
      </c>
      <c r="D5" s="6">
        <v>2000</v>
      </c>
      <c r="E5" s="7">
        <f t="shared" si="0"/>
        <v>185</v>
      </c>
      <c r="F5" s="8" t="s">
        <v>12</v>
      </c>
      <c r="G5" s="6" t="s">
        <v>13</v>
      </c>
    </row>
    <row r="6" spans="2:9" ht="30" x14ac:dyDescent="0.25">
      <c r="B6" s="7" t="s">
        <v>14</v>
      </c>
      <c r="C6" s="6">
        <v>0.14410000000000001</v>
      </c>
      <c r="D6" s="6">
        <v>2000</v>
      </c>
      <c r="E6" s="7">
        <f t="shared" si="0"/>
        <v>288.2</v>
      </c>
      <c r="F6" s="8" t="s">
        <v>15</v>
      </c>
      <c r="G6" s="6" t="s">
        <v>16</v>
      </c>
    </row>
    <row r="7" spans="2:9" ht="30" x14ac:dyDescent="0.25">
      <c r="B7" s="7" t="s">
        <v>17</v>
      </c>
      <c r="C7" s="6">
        <v>6.79E-3</v>
      </c>
      <c r="D7" s="7">
        <v>10000</v>
      </c>
      <c r="E7" s="7">
        <f t="shared" si="0"/>
        <v>67.900000000000006</v>
      </c>
      <c r="F7" s="8" t="s">
        <v>18</v>
      </c>
      <c r="G7" s="6" t="s">
        <v>19</v>
      </c>
    </row>
    <row r="8" spans="2:9" ht="30" x14ac:dyDescent="0.25">
      <c r="B8" s="7" t="s">
        <v>20</v>
      </c>
      <c r="C8" s="6">
        <v>0.73699999999999999</v>
      </c>
      <c r="D8" s="7">
        <v>500</v>
      </c>
      <c r="E8" s="7">
        <f t="shared" si="0"/>
        <v>368.5</v>
      </c>
      <c r="F8" s="8" t="s">
        <v>21</v>
      </c>
      <c r="G8" s="6" t="s">
        <v>37</v>
      </c>
    </row>
    <row r="9" spans="2:9" ht="39" x14ac:dyDescent="0.25">
      <c r="B9" s="7" t="s">
        <v>22</v>
      </c>
      <c r="C9" s="6">
        <v>6.5299999999999997E-2</v>
      </c>
      <c r="D9" s="6">
        <v>5000</v>
      </c>
      <c r="E9" s="7">
        <f t="shared" si="0"/>
        <v>326.5</v>
      </c>
      <c r="F9" s="8" t="s">
        <v>23</v>
      </c>
      <c r="G9" s="6" t="s">
        <v>24</v>
      </c>
      <c r="I9" s="3"/>
    </row>
    <row r="10" spans="2:9" ht="54" x14ac:dyDescent="0.25">
      <c r="B10" s="9" t="s">
        <v>40</v>
      </c>
      <c r="C10" s="6">
        <v>0.1353</v>
      </c>
      <c r="D10" s="6">
        <v>5000</v>
      </c>
      <c r="E10" s="7">
        <f t="shared" si="0"/>
        <v>676.5</v>
      </c>
      <c r="F10" s="10" t="s">
        <v>39</v>
      </c>
      <c r="G10" s="6" t="s">
        <v>38</v>
      </c>
      <c r="H10" s="5"/>
      <c r="I10" s="3"/>
    </row>
    <row r="11" spans="2:9" ht="64.5" x14ac:dyDescent="0.25">
      <c r="B11" s="7" t="s">
        <v>25</v>
      </c>
      <c r="C11" s="6">
        <v>9.8799999999999999E-2</v>
      </c>
      <c r="D11" s="6">
        <v>5000</v>
      </c>
      <c r="E11" s="7">
        <f t="shared" si="0"/>
        <v>494</v>
      </c>
      <c r="F11" s="8" t="s">
        <v>26</v>
      </c>
      <c r="G11" s="6" t="s">
        <v>38</v>
      </c>
      <c r="I11" s="3"/>
    </row>
    <row r="12" spans="2:9" ht="51.75" x14ac:dyDescent="0.25">
      <c r="B12" s="7" t="s">
        <v>27</v>
      </c>
      <c r="C12" s="6">
        <v>8.6699999999999999E-2</v>
      </c>
      <c r="D12" s="6">
        <v>5000</v>
      </c>
      <c r="E12" s="7">
        <f t="shared" si="0"/>
        <v>433.5</v>
      </c>
      <c r="F12" s="8" t="s">
        <v>28</v>
      </c>
      <c r="G12" s="6" t="s">
        <v>24</v>
      </c>
    </row>
    <row r="13" spans="2:9" ht="26.25" x14ac:dyDescent="0.25">
      <c r="B13" s="7" t="s">
        <v>41</v>
      </c>
      <c r="C13" s="6">
        <v>2.5100000000000001E-3</v>
      </c>
      <c r="D13" s="6">
        <v>30000</v>
      </c>
      <c r="E13" s="7">
        <f t="shared" si="0"/>
        <v>75.3</v>
      </c>
      <c r="F13" s="8" t="s">
        <v>42</v>
      </c>
      <c r="G13" s="6" t="s">
        <v>29</v>
      </c>
      <c r="H13" s="5"/>
      <c r="I13" s="3"/>
    </row>
    <row r="14" spans="2:9" ht="30" x14ac:dyDescent="0.25">
      <c r="B14" s="7" t="s">
        <v>30</v>
      </c>
      <c r="C14" s="6">
        <v>2.0169999999999999</v>
      </c>
      <c r="D14" s="6">
        <v>400</v>
      </c>
      <c r="E14" s="7">
        <f t="shared" si="0"/>
        <v>806.8</v>
      </c>
      <c r="F14" s="8" t="s">
        <v>31</v>
      </c>
      <c r="G14" s="6" t="s">
        <v>32</v>
      </c>
    </row>
    <row r="15" spans="2:9" ht="26.25" x14ac:dyDescent="0.25">
      <c r="B15" s="7" t="s">
        <v>33</v>
      </c>
      <c r="C15" s="6">
        <v>0.67900000000000005</v>
      </c>
      <c r="D15" s="6">
        <v>500</v>
      </c>
      <c r="E15" s="7">
        <f t="shared" si="0"/>
        <v>339.5</v>
      </c>
      <c r="F15" s="8" t="s">
        <v>34</v>
      </c>
      <c r="G15" s="6" t="s">
        <v>16</v>
      </c>
    </row>
    <row r="18" spans="2:3" ht="18.75" x14ac:dyDescent="0.25">
      <c r="B18" s="4" t="s">
        <v>35</v>
      </c>
      <c r="C18" s="4">
        <f>SUM(E3:E15)</f>
        <v>5260.9000000000005</v>
      </c>
    </row>
  </sheetData>
  <hyperlinks>
    <hyperlink ref="F4" r:id="rId1" xr:uid="{4EBA4ACF-1C40-4016-90C9-7F672B1BAE15}"/>
    <hyperlink ref="F5" r:id="rId2" xr:uid="{B75C56AC-B71A-4735-93AB-997CC0F73707}"/>
    <hyperlink ref="F6" r:id="rId3" xr:uid="{F54FF067-995D-4AB7-BB05-6FE101F8545C}"/>
    <hyperlink ref="F7" r:id="rId4" xr:uid="{D732B09C-6F16-4D72-9DA9-A9A851C38316}"/>
    <hyperlink ref="F8" r:id="rId5" xr:uid="{9A304BCE-B1BF-4D0F-A4A6-791BA7B7B6B1}"/>
    <hyperlink ref="F9" r:id="rId6" xr:uid="{F2FB86C5-D506-4472-A758-428963E7AE44}"/>
    <hyperlink ref="F11" r:id="rId7" xr:uid="{45AEEE2E-B455-49BB-9ACE-4D50D0DF1F76}"/>
    <hyperlink ref="F12" r:id="rId8" xr:uid="{46CCB133-A338-402C-A99B-2C5CD4A2BE8A}"/>
    <hyperlink ref="F14" r:id="rId9" xr:uid="{7EBA3ABA-BF13-4AA2-9BEE-E07F5DB3826F}"/>
    <hyperlink ref="F15" r:id="rId10" xr:uid="{DFD8C4C0-A63E-40F2-8C83-E2C5EE542F2C}"/>
    <hyperlink ref="F10" r:id="rId11" xr:uid="{03D91338-98D9-4F74-938D-AEF215977F44}"/>
  </hyperlinks>
  <pageMargins left="0.70000000000000007" right="0.70000000000000007" top="0.75" bottom="0.75" header="0.30000000000000004" footer="0.30000000000000004"/>
  <pageSetup paperSize="9" fitToWidth="0" fitToHeight="0" orientation="portrait" horizontalDpi="300" verticalDpi="3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Sikora</dc:creator>
  <cp:lastModifiedBy>Krzysztof Sikora</cp:lastModifiedBy>
  <dcterms:created xsi:type="dcterms:W3CDTF">2024-09-08T19:17:29Z</dcterms:created>
  <dcterms:modified xsi:type="dcterms:W3CDTF">2026-03-13T20:22:41Z</dcterms:modified>
</cp:coreProperties>
</file>